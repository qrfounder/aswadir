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لوحة العادات" state="visible" r:id="rId4"/>
    <sheet sheetId="2" name="المهام الأسبوعية" state="visible" r:id="rId5"/>
    <sheet sheetId="3" name="📖 الدليل" state="visible" r:id="rId6"/>
  </sheets>
  <calcPr calcId="171027"/>
</workbook>
</file>

<file path=xl/sharedStrings.xml><?xml version="1.0" encoding="utf-8"?>
<sst xmlns="http://schemas.openxmlformats.org/spreadsheetml/2006/main" count="102" uniqueCount="78">
  <si>
    <t xml:space="preserve">مسار · Massar
متتبع العادات</t>
  </si>
  <si>
    <t>مايو</t>
  </si>
  <si>
    <t>نسبة التقدم %</t>
  </si>
  <si>
    <t>العادات المكتملة</t>
  </si>
  <si>
    <t>عدد العادات</t>
  </si>
  <si>
    <t>التحليل</t>
  </si>
  <si>
    <t>الأسابيع</t>
  </si>
  <si>
    <t>العادات</t>
  </si>
  <si>
    <t>⏰  الاستيقاظ مبكراً</t>
  </si>
  <si>
    <t>💪  النادي الرياضي</t>
  </si>
  <si>
    <t>📖  القراءة</t>
  </si>
  <si>
    <t>📋  تخطيط اليوم (مسار)</t>
  </si>
  <si>
    <t>🎯  عمل على المشروع</t>
  </si>
  <si>
    <t>🚫  بدون كحول</t>
  </si>
  <si>
    <t>📵  ساعة سوشيال فقط</t>
  </si>
  <si>
    <t>📝  يومية الامتنان</t>
  </si>
  <si>
    <t>🚿  شاور بارد</t>
  </si>
  <si>
    <t>🕌  ورد قرآن</t>
  </si>
  <si>
    <t>نسبة التقدم</t>
  </si>
  <si>
    <t>مكتمل</t>
  </si>
  <si>
    <t>غير مكتمل</t>
  </si>
  <si>
    <t>الحالة الذهنية · Mental State</t>
  </si>
  <si>
    <t>⚡ الطاقة</t>
  </si>
  <si>
    <t>😊 المزاج</t>
  </si>
  <si>
    <t>🔥 التحفيز</t>
  </si>
  <si>
    <t>💡 في Google Sheets: حدّد خلايا العادات → إدراج → مربع اختيار لتفعيل ✓ تلقائي</t>
  </si>
  <si>
    <t>مسار · Massar — المخطط الأسبوعي</t>
  </si>
  <si>
    <t>متتبع العادات</t>
  </si>
  <si>
    <t>التقدم الإجمالي</t>
  </si>
  <si>
    <t>العادة</t>
  </si>
  <si>
    <t>الأحد</t>
  </si>
  <si>
    <t>الإثنين</t>
  </si>
  <si>
    <t>الثلاثاء</t>
  </si>
  <si>
    <t>الأربعاء</t>
  </si>
  <si>
    <t>الخميس</t>
  </si>
  <si>
    <t>الجمعة</t>
  </si>
  <si>
    <t>السبت</t>
  </si>
  <si>
    <t>التقدم</t>
  </si>
  <si>
    <t>⏰ الاستيقاظ مبكراً</t>
  </si>
  <si>
    <t>💪 النادي الرياضي</t>
  </si>
  <si>
    <t>📖 القراءة</t>
  </si>
  <si>
    <t>📋 تخطيط اليوم (مسار)</t>
  </si>
  <si>
    <t>🎯 عمل على المشروع</t>
  </si>
  <si>
    <t>🚫 بدون كحول</t>
  </si>
  <si>
    <t>📵 ساعة سوشيال فقط</t>
  </si>
  <si>
    <t>📝 يومية الامتنان</t>
  </si>
  <si>
    <t>المهام</t>
  </si>
  <si>
    <t>أهم مهمة اليوم</t>
  </si>
  <si>
    <t>مراجعة البريد</t>
  </si>
  <si>
    <t>تمرين</t>
  </si>
  <si>
    <t>متابعة مشروع</t>
  </si>
  <si>
    <t>تخطيط الغد</t>
  </si>
  <si>
    <t>وقت عائلة</t>
  </si>
  <si>
    <t>مراجعة مسار</t>
  </si>
  <si>
    <t>شراء مستلزمات</t>
  </si>
  <si>
    <t>—</t>
  </si>
  <si>
    <t>شرب ماء</t>
  </si>
  <si>
    <t>قراءة</t>
  </si>
  <si>
    <t>تأمل</t>
  </si>
  <si>
    <t>مكالمة مهمة</t>
  </si>
  <si>
    <t>محتوى سوشيال</t>
  </si>
  <si>
    <t>📖 دليل مسار — الباقة الكاملة</t>
  </si>
  <si>
    <t/>
  </si>
  <si>
    <t>هذا ملف Excel جاهز للرفع على Google Drive.</t>
  </si>
  <si>
    <t>✅ بعد الرفع على Google Sheets:</t>
  </si>
  <si>
    <t>1</t>
  </si>
  <si>
    <t>ملف → إنشاء نسخة (نسختك الخاصة)</t>
  </si>
  <si>
    <t>2</t>
  </si>
  <si>
    <t>لوحة العادات: حدّد شبكة العادات → إدراج → مربع اختيار</t>
  </si>
  <si>
    <t>3</t>
  </si>
  <si>
    <t>غيّر أسماء العادات في العمود الأيمن</t>
  </si>
  <si>
    <t>4</t>
  </si>
  <si>
    <t>سجّل كل مساء — 5 دقايق</t>
  </si>
  <si>
    <t>🎨 للوصول لمظهر الرسوم البيانية مثل القوالب الاحترافية:</t>
  </si>
  <si>
    <t>•</t>
  </si>
  <si>
    <t>أضف مخطط مساحي من صف «نسبة التقدم» اليومية</t>
  </si>
  <si>
    <t>أضف مخطط دائري من خلية «التقدم الإجمالي»</t>
  </si>
  <si>
    <t>© مسار · Massar — support@aswadir.store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</si>
</sst>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D4AF37"/>
      <sz val="28"/>
      <name val="Arial"/>
    </font>
    <font>
      <color rgb="FFFFFFFF"/>
      <sz val="9"/>
      <name val="Arial"/>
    </font>
    <font>
      <b/>
      <color rgb="FFF5B041"/>
      <sz val="14"/>
      <name val="Arial"/>
    </font>
    <font>
      <b/>
      <color rgb="FFFFFFFF"/>
      <name val="Arial"/>
    </font>
    <font>
      <b/>
      <color rgb="FF1A1A1A"/>
      <sz val="9"/>
    </font>
    <font>
      <color rgb="FFE67E22"/>
      <sz val="9"/>
      <name val="Calibri"/>
    </font>
    <font>
      <b/>
      <sz val="11"/>
      <name val="Arial"/>
    </font>
    <font>
      <b/>
      <color rgb="FF1A1A1A"/>
      <sz val="8"/>
    </font>
    <font>
      <b/>
      <color rgb="FFFFFFFF"/>
      <sz val="12"/>
      <name val="Arial"/>
    </font>
    <font>
      <sz val="10"/>
    </font>
    <font>
      <b/>
      <name val="Arial"/>
    </font>
    <font>
      <i/>
      <color rgb="FF6B7280"/>
      <sz val="9"/>
      <name val="Arial"/>
    </font>
    <font>
      <b/>
      <color rgb="FFFFFFFF"/>
      <sz val="14"/>
      <name val="Arial"/>
    </font>
    <font>
      <b/>
      <sz val="9"/>
      <name val="Arial"/>
    </font>
    <font>
      <b/>
      <color rgb="FF2D6A4F"/>
      <sz val="18"/>
      <name val="Arial"/>
    </font>
    <font>
      <sz val="10"/>
      <name val="Arial"/>
    </font>
    <font>
      <color rgb="FF2D6A4F"/>
      <sz val="9"/>
    </font>
    <font>
      <b/>
      <color rgb="FF2D6A4F"/>
      <sz val="14"/>
    </font>
    <font>
      <sz val="9"/>
      <name val="Arial"/>
    </font>
    <font>
      <b/>
      <color rgb="1A2B3C"/>
      <sz val="14"/>
      <name val="Arial"/>
    </font>
    <font>
      <color rgb="FF1A1A1A"/>
      <sz val="11"/>
      <name val="Arial"/>
    </font>
  </fonts>
  <fills count="13">
    <fill>
      <patternFill patternType="none"/>
    </fill>
    <fill>
      <patternFill patternType="gray125"/>
    </fill>
    <fill>
      <patternFill patternType="solid">
        <fgColor rgb="FF1A2B3C"/>
      </patternFill>
    </fill>
    <fill>
      <patternFill patternType="solid">
        <fgColor rgb="FFFAF7F0"/>
      </patternFill>
    </fill>
    <fill>
      <patternFill patternType="solid">
        <fgColor rgb="FF243B55"/>
      </patternFill>
    </fill>
    <fill>
      <patternFill patternType="solid">
        <fgColor rgb="FFF0EBE0"/>
      </patternFill>
    </fill>
    <fill>
      <patternFill patternType="solid">
        <fgColor rgb="FFFFFFFF"/>
      </patternFill>
    </fill>
    <fill>
      <patternFill patternType="solid">
        <fgColor rgb="FFE67E22"/>
      </patternFill>
    </fill>
    <fill>
      <patternFill patternType="solid">
        <fgColor rgb="FFF5B041"/>
      </patternFill>
    </fill>
    <fill>
      <patternFill patternType="solid">
        <fgColor rgb="FFE8F4FC"/>
      </patternFill>
    </fill>
    <fill>
      <patternFill patternType="solid">
        <fgColor rgb="FF85C1E9"/>
      </patternFill>
    </fill>
    <fill>
      <patternFill patternType="solid">
        <fgColor rgb="FF2D6A4F"/>
      </patternFill>
    </fill>
    <fill>
      <patternFill patternType="solid">
        <fgColor rgb="FFD8F3DC"/>
      </patternFill>
    </fill>
  </fills>
  <borders count="3">
    <border>
      <left/>
      <right/>
      <top/>
      <bottom/>
      <diagonal/>
    </border>
    <border>
      <left style="thin">
        <color rgb="FFE0D8CC"/>
      </left>
      <right style="thin">
        <color rgb="FFE0D8CC"/>
      </right>
      <top style="thin">
        <color rgb="FFE0D8CC"/>
      </top>
      <bottom style="thin">
        <color rgb="FFE0D8CC"/>
      </bottom>
      <diagonal/>
    </border>
    <border>
      <left style="thin">
        <color rgb="FFE67E22"/>
      </left>
      <right style="thin">
        <color rgb="FFE67E22"/>
      </right>
      <top style="thin">
        <color rgb="FFE67E22"/>
      </top>
      <bottom style="thin">
        <color rgb="FFE67E22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3" borderId="0" xfId="0" applyFill="1"/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7" fillId="5" borderId="0" xfId="0" applyFont="1" applyFill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8" fillId="6" borderId="1" xfId="0" applyFont="1" applyFill="1" applyBorder="1" applyAlignment="1">
      <alignment horizontal="right" vertical="center"/>
    </xf>
    <xf numFmtId="0" fontId="0" fillId="7" borderId="0" xfId="0" applyFill="1"/>
    <xf numFmtId="0" fontId="9" fillId="8" borderId="2" xfId="0" applyFont="1" applyFill="1" applyBorder="1" applyAlignment="1">
      <alignment horizontal="center"/>
    </xf>
    <xf numFmtId="0" fontId="5" fillId="7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center" vertical="center"/>
    </xf>
    <xf numFmtId="0" fontId="11" fillId="9" borderId="1" xfId="0" applyFont="1" applyFill="1" applyBorder="1" applyAlignment="1">
      <alignment horizontal="center"/>
    </xf>
    <xf numFmtId="0" fontId="12" fillId="10" borderId="0" xfId="0" applyFont="1" applyFill="1" applyAlignment="1">
      <alignment horizontal="right"/>
    </xf>
    <xf numFmtId="0" fontId="13" fillId="3" borderId="0" xfId="0" applyFont="1" applyFill="1"/>
    <xf numFmtId="0" fontId="14" fillId="11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/>
    </xf>
    <xf numFmtId="0" fontId="12" fillId="12" borderId="0" xfId="0" applyFont="1" applyFill="1"/>
    <xf numFmtId="0" fontId="15" fillId="12" borderId="0" xfId="0" applyFont="1" applyFill="1" applyAlignment="1">
      <alignment horizontal="center"/>
    </xf>
    <xf numFmtId="0" fontId="16" fillId="12" borderId="0" xfId="0" applyFont="1" applyFill="1" applyAlignment="1">
      <alignment horizontal="center" vertical="center" wrapText="1"/>
    </xf>
    <xf numFmtId="0" fontId="17" fillId="0" borderId="1" xfId="0" applyFont="1" applyBorder="1" applyAlignment="1">
      <alignment horizontal="right"/>
    </xf>
    <xf numFmtId="0" fontId="18" fillId="0" borderId="0" xfId="0" applyFont="1"/>
    <xf numFmtId="0" fontId="19" fillId="12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20" fillId="6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right" wrapText="1"/>
    </xf>
    <xf numFmtId="0" fontId="21" fillId="0" borderId="0" xfId="0" applyFont="1"/>
    <xf numFmtId="0" fontId="22" fillId="0" borderId="0" xfId="0" applyFont="1"/>
    <xf numFmtId="0" fontId="1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5"/>
  <sheetViews>
    <sheetView workbookViewId="0" rightToLeft="1" showGridLines="0"/>
  </sheetViews>
  <sheetFormatPr defaultRowHeight="22" outlineLevelRow="0" outlineLevelCol="0" x14ac:dyDescent="55" customHeight="1"/>
  <cols>
    <col min="1" max="1" width="14" customWidth="1"/>
    <col min="2" max="32" width="3.8" customWidth="1"/>
    <col min="33" max="33" width="22" customWidth="1"/>
    <col min="34" max="34" width="12" customWidth="1"/>
  </cols>
  <sheetData>
    <row r="1" ht="28" customHeight="1" spans="1:34" x14ac:dyDescent="0.25">
      <c r="A1" s="1" t="s">
        <v>0</v>
      </c>
      <c r="B1" s="1"/>
      <c r="C1" s="1"/>
      <c r="D1" s="1"/>
      <c r="E1" s="1"/>
      <c r="F1" s="1"/>
      <c r="G1" s="1"/>
      <c r="H1" s="1"/>
      <c r="I1" s="2" t="s">
        <v>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 t="s">
        <v>2</v>
      </c>
      <c r="W1" s="3"/>
      <c r="X1" s="3"/>
      <c r="Y1" s="4" t="s">
        <v>3</v>
      </c>
      <c r="Z1" s="3"/>
      <c r="AA1" s="3"/>
      <c r="AB1" s="4" t="s">
        <v>4</v>
      </c>
      <c r="AC1" s="3"/>
      <c r="AD1" s="3"/>
      <c r="AE1" s="3"/>
      <c r="AF1" s="3"/>
      <c r="AG1" s="3"/>
      <c r="AH1" s="3"/>
    </row>
    <row r="2" ht="28" customHeight="1" spans="1:34" x14ac:dyDescent="0.25">
      <c r="A2" s="1"/>
      <c r="B2" s="1"/>
      <c r="C2" s="1"/>
      <c r="D2" s="1"/>
      <c r="E2" s="1"/>
      <c r="F2" s="1"/>
      <c r="G2" s="1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  <c r="V2" s="5">
        <f>IFERROR(ROUND(COUNTIF(C7:AG16,TRUE)/(COUNTA(AH7:AH16)*31)*100,1),0)&amp;"%"</f>
      </c>
      <c r="W2" s="3"/>
      <c r="X2" s="3"/>
      <c r="Y2" s="5">
        <f>COUNTIF(C7:AG16,TRUE)</f>
      </c>
      <c r="Z2" s="3"/>
      <c r="AA2" s="3"/>
      <c r="AB2" s="5">
        <f>10</f>
      </c>
      <c r="AC2" s="3"/>
      <c r="AD2" s="3"/>
      <c r="AE2" s="3"/>
      <c r="AF2" s="3"/>
      <c r="AG2" s="3"/>
      <c r="AH2" s="3"/>
    </row>
    <row r="3" spans="1:34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 x14ac:dyDescent="0.25">
      <c r="A4" s="3"/>
      <c r="B4" s="6" t="s">
        <v>5</v>
      </c>
      <c r="C4" s="7" t="s">
        <v>6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6" t="s">
        <v>7</v>
      </c>
    </row>
    <row r="5" spans="1:34" x14ac:dyDescent="0.25">
      <c r="A5" s="3"/>
      <c r="B5" s="6"/>
      <c r="C5" s="8">
        <v>1</v>
      </c>
      <c r="D5" s="8">
        <v>2</v>
      </c>
      <c r="E5" s="8">
        <v>3</v>
      </c>
      <c r="F5" s="8">
        <v>4</v>
      </c>
      <c r="G5" s="8">
        <v>5</v>
      </c>
      <c r="H5" s="8">
        <v>6</v>
      </c>
      <c r="I5" s="8">
        <v>7</v>
      </c>
      <c r="J5" s="8">
        <v>8</v>
      </c>
      <c r="K5" s="8">
        <v>9</v>
      </c>
      <c r="L5" s="8">
        <v>10</v>
      </c>
      <c r="M5" s="8">
        <v>11</v>
      </c>
      <c r="N5" s="8">
        <v>12</v>
      </c>
      <c r="O5" s="8">
        <v>13</v>
      </c>
      <c r="P5" s="8">
        <v>14</v>
      </c>
      <c r="Q5" s="8">
        <v>15</v>
      </c>
      <c r="R5" s="8">
        <v>16</v>
      </c>
      <c r="S5" s="8">
        <v>17</v>
      </c>
      <c r="T5" s="8">
        <v>18</v>
      </c>
      <c r="U5" s="8">
        <v>19</v>
      </c>
      <c r="V5" s="8">
        <v>20</v>
      </c>
      <c r="W5" s="8">
        <v>21</v>
      </c>
      <c r="X5" s="8">
        <v>22</v>
      </c>
      <c r="Y5" s="8">
        <v>23</v>
      </c>
      <c r="Z5" s="8">
        <v>24</v>
      </c>
      <c r="AA5" s="8">
        <v>25</v>
      </c>
      <c r="AB5" s="8">
        <v>26</v>
      </c>
      <c r="AC5" s="8">
        <v>27</v>
      </c>
      <c r="AD5" s="8">
        <v>28</v>
      </c>
      <c r="AE5" s="8">
        <v>29</v>
      </c>
      <c r="AF5" s="8">
        <v>30</v>
      </c>
      <c r="AG5" s="8">
        <v>31</v>
      </c>
      <c r="AH5" s="6"/>
    </row>
    <row r="6" spans="1:34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ht="26" customHeight="1" spans="1:34" x14ac:dyDescent="0.25">
      <c r="A7" s="3"/>
      <c r="B7" s="9">
        <f>REPT("█",MIN(10,ROUND(COUNTIF(C7:AG7,TRUE)/31*10,0)))&amp;" "&amp;COUNTIF(C7:AG7,TRUE)&amp;"/31"</f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1" t="s">
        <v>8</v>
      </c>
    </row>
    <row r="8" ht="26" customHeight="1" spans="1:34" x14ac:dyDescent="0.25">
      <c r="A8" s="3"/>
      <c r="B8" s="9">
        <f>REPT("█",MIN(10,ROUND(COUNTIF(C8:AG8,TRUE)/31*10,0)))&amp;" "&amp;COUNTIF(C8:AG8,TRUE)&amp;"/31"</f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 t="s">
        <v>9</v>
      </c>
    </row>
    <row r="9" ht="26" customHeight="1" spans="1:34" x14ac:dyDescent="0.25">
      <c r="A9" s="3"/>
      <c r="B9" s="9">
        <f>REPT("█",MIN(10,ROUND(COUNTIF(C9:AG9,TRUE)/31*10,0)))&amp;" "&amp;COUNTIF(C9:AG9,TRUE)&amp;"/31"</f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1" t="s">
        <v>10</v>
      </c>
    </row>
    <row r="10" ht="26" customHeight="1" spans="1:34" x14ac:dyDescent="0.25">
      <c r="A10" s="3"/>
      <c r="B10" s="9">
        <f>REPT("█",MIN(10,ROUND(COUNTIF(C10:AG10,TRUE)/31*10,0)))&amp;" "&amp;COUNTIF(C10:AG10,TRUE)&amp;"/31"</f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1" t="s">
        <v>11</v>
      </c>
    </row>
    <row r="11" ht="26" customHeight="1" spans="1:34" x14ac:dyDescent="0.25">
      <c r="A11" s="3"/>
      <c r="B11" s="9">
        <f>REPT("█",MIN(10,ROUND(COUNTIF(C11:AG11,TRUE)/31*10,0)))&amp;" "&amp;COUNTIF(C11:AG11,TRUE)&amp;"/31"</f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1" t="s">
        <v>12</v>
      </c>
    </row>
    <row r="12" ht="26" customHeight="1" spans="1:34" x14ac:dyDescent="0.25">
      <c r="A12" s="3"/>
      <c r="B12" s="9">
        <f>REPT("█",MIN(10,ROUND(COUNTIF(C12:AG12,TRUE)/31*10,0)))&amp;" "&amp;COUNTIF(C12:AG12,TRUE)&amp;"/31"</f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1" t="s">
        <v>13</v>
      </c>
    </row>
    <row r="13" ht="26" customHeight="1" spans="1:34" x14ac:dyDescent="0.25">
      <c r="A13" s="3"/>
      <c r="B13" s="9">
        <f>REPT("█",MIN(10,ROUND(COUNTIF(C13:AG13,TRUE)/31*10,0)))&amp;" "&amp;COUNTIF(C13:AG13,TRUE)&amp;"/31"</f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1" t="s">
        <v>14</v>
      </c>
    </row>
    <row r="14" ht="26" customHeight="1" spans="1:34" x14ac:dyDescent="0.25">
      <c r="A14" s="3"/>
      <c r="B14" s="9">
        <f>REPT("█",MIN(10,ROUND(COUNTIF(C14:AG14,TRUE)/31*10,0)))&amp;" "&amp;COUNTIF(C14:AG14,TRUE)&amp;"/31"</f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1" t="s">
        <v>15</v>
      </c>
    </row>
    <row r="15" ht="26" customHeight="1" spans="1:34" x14ac:dyDescent="0.25">
      <c r="A15" s="3"/>
      <c r="B15" s="9">
        <f>REPT("█",MIN(10,ROUND(COUNTIF(C15:AG15,TRUE)/31*10,0)))&amp;" "&amp;COUNTIF(C15:AG15,TRUE)&amp;"/31"</f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1" t="s">
        <v>16</v>
      </c>
    </row>
    <row r="16" ht="26" customHeight="1" spans="1:34" x14ac:dyDescent="0.25">
      <c r="A16" s="3"/>
      <c r="B16" s="9">
        <f>REPT("█",MIN(10,ROUND(COUNTIF(C16:AG16,TRUE)/31*10,0)))&amp;" "&amp;COUNTIF(C16:AG16,TRUE)&amp;"/31"</f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1" t="s">
        <v>17</v>
      </c>
    </row>
    <row r="17" spans="1:34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20" customHeight="1" spans="1:34" x14ac:dyDescent="0.25">
      <c r="A18" s="3"/>
      <c r="B18" s="12"/>
      <c r="C18" s="13">
        <f>IFERROR(ROUND(COUNTIF(C7:C16,TRUE)/10*100,0),0)&amp;"%"</f>
      </c>
      <c r="D18" s="13">
        <f>IFERROR(ROUND(COUNTIF(D7:D16,TRUE)/10*100,0),0)&amp;"%"</f>
      </c>
      <c r="E18" s="13">
        <f>IFERROR(ROUND(COUNTIF(E7:E16,TRUE)/10*100,0),0)&amp;"%"</f>
      </c>
      <c r="F18" s="13">
        <f>IFERROR(ROUND(COUNTIF(F7:F16,TRUE)/10*100,0),0)&amp;"%"</f>
      </c>
      <c r="G18" s="13">
        <f>IFERROR(ROUND(COUNTIF(G7:G16,TRUE)/10*100,0),0)&amp;"%"</f>
      </c>
      <c r="H18" s="13">
        <f>IFERROR(ROUND(COUNTIF(H7:H16,TRUE)/10*100,0),0)&amp;"%"</f>
      </c>
      <c r="I18" s="13">
        <f>IFERROR(ROUND(COUNTIF(I7:I16,TRUE)/10*100,0),0)&amp;"%"</f>
      </c>
      <c r="J18" s="13">
        <f>IFERROR(ROUND(COUNTIF(J7:J16,TRUE)/10*100,0),0)&amp;"%"</f>
      </c>
      <c r="K18" s="13">
        <f>IFERROR(ROUND(COUNTIF(K7:K16,TRUE)/10*100,0),0)&amp;"%"</f>
      </c>
      <c r="L18" s="13">
        <f>IFERROR(ROUND(COUNTIF(L7:L16,TRUE)/10*100,0),0)&amp;"%"</f>
      </c>
      <c r="M18" s="13">
        <f>IFERROR(ROUND(COUNTIF(M7:M16,TRUE)/10*100,0),0)&amp;"%"</f>
      </c>
      <c r="N18" s="13">
        <f>IFERROR(ROUND(COUNTIF(N7:N16,TRUE)/10*100,0),0)&amp;"%"</f>
      </c>
      <c r="O18" s="13">
        <f>IFERROR(ROUND(COUNTIF(O7:O16,TRUE)/10*100,0),0)&amp;"%"</f>
      </c>
      <c r="P18" s="13">
        <f>IFERROR(ROUND(COUNTIF(P7:P16,TRUE)/10*100,0),0)&amp;"%"</f>
      </c>
      <c r="Q18" s="13">
        <f>IFERROR(ROUND(COUNTIF(Q7:Q16,TRUE)/10*100,0),0)&amp;"%"</f>
      </c>
      <c r="R18" s="13">
        <f>IFERROR(ROUND(COUNTIF(R7:R16,TRUE)/10*100,0),0)&amp;"%"</f>
      </c>
      <c r="S18" s="13">
        <f>IFERROR(ROUND(COUNTIF(S7:S16,TRUE)/10*100,0),0)&amp;"%"</f>
      </c>
      <c r="T18" s="13">
        <f>IFERROR(ROUND(COUNTIF(T7:T16,TRUE)/10*100,0),0)&amp;"%"</f>
      </c>
      <c r="U18" s="13">
        <f>IFERROR(ROUND(COUNTIF(U7:U16,TRUE)/10*100,0),0)&amp;"%"</f>
      </c>
      <c r="V18" s="13">
        <f>IFERROR(ROUND(COUNTIF(V7:V16,TRUE)/10*100,0),0)&amp;"%"</f>
      </c>
      <c r="W18" s="13">
        <f>IFERROR(ROUND(COUNTIF(W7:W16,TRUE)/10*100,0),0)&amp;"%"</f>
      </c>
      <c r="X18" s="13">
        <f>IFERROR(ROUND(COUNTIF(X7:X16,TRUE)/10*100,0),0)&amp;"%"</f>
      </c>
      <c r="Y18" s="13">
        <f>IFERROR(ROUND(COUNTIF(Y7:Y16,TRUE)/10*100,0),0)&amp;"%"</f>
      </c>
      <c r="Z18" s="13">
        <f>IFERROR(ROUND(COUNTIF(Z7:Z16,TRUE)/10*100,0),0)&amp;"%"</f>
      </c>
      <c r="AA18" s="13">
        <f>IFERROR(ROUND(COUNTIF(AA7:AA16,TRUE)/10*100,0),0)&amp;"%"</f>
      </c>
      <c r="AB18" s="13">
        <f>IFERROR(ROUND(COUNTIF(AB7:AB16,TRUE)/10*100,0),0)&amp;"%"</f>
      </c>
      <c r="AC18" s="13">
        <f>IFERROR(ROUND(COUNTIF(AC7:AC16,TRUE)/10*100,0),0)&amp;"%"</f>
      </c>
      <c r="AD18" s="13">
        <f>IFERROR(ROUND(COUNTIF(AD7:AD16,TRUE)/10*100,0),0)&amp;"%"</f>
      </c>
      <c r="AE18" s="13">
        <f>IFERROR(ROUND(COUNTIF(AE7:AE16,TRUE)/10*100,0),0)&amp;"%"</f>
      </c>
      <c r="AF18" s="13">
        <f>IFERROR(ROUND(COUNTIF(AF7:AF16,TRUE)/10*100,0),0)&amp;"%"</f>
      </c>
      <c r="AG18" s="13">
        <f>IFERROR(ROUND(COUNTIF(AG7:AG16,TRUE)/10*100,0),0)&amp;"%"</f>
      </c>
      <c r="AH18" s="14" t="s">
        <v>18</v>
      </c>
    </row>
    <row r="19" ht="20" customHeight="1" spans="1:34" x14ac:dyDescent="0.25">
      <c r="A19" s="3"/>
      <c r="B19" s="12"/>
      <c r="C19" s="13">
        <f>COUNTIF(C7:C16,TRUE)</f>
      </c>
      <c r="D19" s="13">
        <f>COUNTIF(D7:D16,TRUE)</f>
      </c>
      <c r="E19" s="13">
        <f>COUNTIF(E7:E16,TRUE)</f>
      </c>
      <c r="F19" s="13">
        <f>COUNTIF(F7:F16,TRUE)</f>
      </c>
      <c r="G19" s="13">
        <f>COUNTIF(G7:G16,TRUE)</f>
      </c>
      <c r="H19" s="13">
        <f>COUNTIF(H7:H16,TRUE)</f>
      </c>
      <c r="I19" s="13">
        <f>COUNTIF(I7:I16,TRUE)</f>
      </c>
      <c r="J19" s="13">
        <f>COUNTIF(J7:J16,TRUE)</f>
      </c>
      <c r="K19" s="13">
        <f>COUNTIF(K7:K16,TRUE)</f>
      </c>
      <c r="L19" s="13">
        <f>COUNTIF(L7:L16,TRUE)</f>
      </c>
      <c r="M19" s="13">
        <f>COUNTIF(M7:M16,TRUE)</f>
      </c>
      <c r="N19" s="13">
        <f>COUNTIF(N7:N16,TRUE)</f>
      </c>
      <c r="O19" s="13">
        <f>COUNTIF(O7:O16,TRUE)</f>
      </c>
      <c r="P19" s="13">
        <f>COUNTIF(P7:P16,TRUE)</f>
      </c>
      <c r="Q19" s="13">
        <f>COUNTIF(Q7:Q16,TRUE)</f>
      </c>
      <c r="R19" s="13">
        <f>COUNTIF(R7:R16,TRUE)</f>
      </c>
      <c r="S19" s="13">
        <f>COUNTIF(S7:S16,TRUE)</f>
      </c>
      <c r="T19" s="13">
        <f>COUNTIF(T7:T16,TRUE)</f>
      </c>
      <c r="U19" s="13">
        <f>COUNTIF(U7:U16,TRUE)</f>
      </c>
      <c r="V19" s="13">
        <f>COUNTIF(V7:V16,TRUE)</f>
      </c>
      <c r="W19" s="13">
        <f>COUNTIF(W7:W16,TRUE)</f>
      </c>
      <c r="X19" s="13">
        <f>COUNTIF(X7:X16,TRUE)</f>
      </c>
      <c r="Y19" s="13">
        <f>COUNTIF(Y7:Y16,TRUE)</f>
      </c>
      <c r="Z19" s="13">
        <f>COUNTIF(Z7:Z16,TRUE)</f>
      </c>
      <c r="AA19" s="13">
        <f>COUNTIF(AA7:AA16,TRUE)</f>
      </c>
      <c r="AB19" s="13">
        <f>COUNTIF(AB7:AB16,TRUE)</f>
      </c>
      <c r="AC19" s="13">
        <f>COUNTIF(AC7:AC16,TRUE)</f>
      </c>
      <c r="AD19" s="13">
        <f>COUNTIF(AD7:AD16,TRUE)</f>
      </c>
      <c r="AE19" s="13">
        <f>COUNTIF(AE7:AE16,TRUE)</f>
      </c>
      <c r="AF19" s="13">
        <f>COUNTIF(AF7:AF16,TRUE)</f>
      </c>
      <c r="AG19" s="13">
        <f>COUNTIF(AG7:AG16,TRUE)</f>
      </c>
      <c r="AH19" s="14" t="s">
        <v>19</v>
      </c>
    </row>
    <row r="20" ht="20" customHeight="1" spans="1:34" x14ac:dyDescent="0.25">
      <c r="A20" s="3"/>
      <c r="B20" s="12"/>
      <c r="C20" s="13">
        <f>10-COUNTIF(C7:C16,TRUE)</f>
      </c>
      <c r="D20" s="13">
        <f>10-COUNTIF(D7:D16,TRUE)</f>
      </c>
      <c r="E20" s="13">
        <f>10-COUNTIF(E7:E16,TRUE)</f>
      </c>
      <c r="F20" s="13">
        <f>10-COUNTIF(F7:F16,TRUE)</f>
      </c>
      <c r="G20" s="13">
        <f>10-COUNTIF(G7:G16,TRUE)</f>
      </c>
      <c r="H20" s="13">
        <f>10-COUNTIF(H7:H16,TRUE)</f>
      </c>
      <c r="I20" s="13">
        <f>10-COUNTIF(I7:I16,TRUE)</f>
      </c>
      <c r="J20" s="13">
        <f>10-COUNTIF(J7:J16,TRUE)</f>
      </c>
      <c r="K20" s="13">
        <f>10-COUNTIF(K7:K16,TRUE)</f>
      </c>
      <c r="L20" s="13">
        <f>10-COUNTIF(L7:L16,TRUE)</f>
      </c>
      <c r="M20" s="13">
        <f>10-COUNTIF(M7:M16,TRUE)</f>
      </c>
      <c r="N20" s="13">
        <f>10-COUNTIF(N7:N16,TRUE)</f>
      </c>
      <c r="O20" s="13">
        <f>10-COUNTIF(O7:O16,TRUE)</f>
      </c>
      <c r="P20" s="13">
        <f>10-COUNTIF(P7:P16,TRUE)</f>
      </c>
      <c r="Q20" s="13">
        <f>10-COUNTIF(Q7:Q16,TRUE)</f>
      </c>
      <c r="R20" s="13">
        <f>10-COUNTIF(R7:R16,TRUE)</f>
      </c>
      <c r="S20" s="13">
        <f>10-COUNTIF(S7:S16,TRUE)</f>
      </c>
      <c r="T20" s="13">
        <f>10-COUNTIF(T7:T16,TRUE)</f>
      </c>
      <c r="U20" s="13">
        <f>10-COUNTIF(U7:U16,TRUE)</f>
      </c>
      <c r="V20" s="13">
        <f>10-COUNTIF(V7:V16,TRUE)</f>
      </c>
      <c r="W20" s="13">
        <f>10-COUNTIF(W7:W16,TRUE)</f>
      </c>
      <c r="X20" s="13">
        <f>10-COUNTIF(X7:X16,TRUE)</f>
      </c>
      <c r="Y20" s="13">
        <f>10-COUNTIF(Y7:Y16,TRUE)</f>
      </c>
      <c r="Z20" s="13">
        <f>10-COUNTIF(Z7:Z16,TRUE)</f>
      </c>
      <c r="AA20" s="13">
        <f>10-COUNTIF(AA7:AA16,TRUE)</f>
      </c>
      <c r="AB20" s="13">
        <f>10-COUNTIF(AB7:AB16,TRUE)</f>
      </c>
      <c r="AC20" s="13">
        <f>10-COUNTIF(AC7:AC16,TRUE)</f>
      </c>
      <c r="AD20" s="13">
        <f>10-COUNTIF(AD7:AD16,TRUE)</f>
      </c>
      <c r="AE20" s="13">
        <f>10-COUNTIF(AE7:AE16,TRUE)</f>
      </c>
      <c r="AF20" s="13">
        <f>10-COUNTIF(AF7:AF16,TRUE)</f>
      </c>
      <c r="AG20" s="13">
        <f>10-COUNTIF(AG7:AG16,TRUE)</f>
      </c>
      <c r="AH20" s="14" t="s">
        <v>20</v>
      </c>
    </row>
    <row r="21" spans="1:34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24" customHeight="1" spans="1:34" x14ac:dyDescent="0.25">
      <c r="A22" s="15" t="s">
        <v>21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</row>
    <row r="23" spans="1:34" x14ac:dyDescent="0.25">
      <c r="A23" s="3"/>
      <c r="B23" s="3"/>
      <c r="C23" s="16">
        <v>5</v>
      </c>
      <c r="D23" s="16"/>
      <c r="E23" s="16"/>
      <c r="F23" s="16">
        <v>8</v>
      </c>
      <c r="G23" s="16"/>
      <c r="H23" s="16"/>
      <c r="I23" s="16">
        <v>6</v>
      </c>
      <c r="J23" s="16"/>
      <c r="K23" s="16"/>
      <c r="L23" s="16">
        <v>9</v>
      </c>
      <c r="M23" s="16"/>
      <c r="N23" s="16"/>
      <c r="O23" s="16">
        <v>7</v>
      </c>
      <c r="P23" s="16"/>
      <c r="Q23" s="16"/>
      <c r="R23" s="16">
        <v>5</v>
      </c>
      <c r="S23" s="16"/>
      <c r="T23" s="16"/>
      <c r="U23" s="16">
        <v>8</v>
      </c>
      <c r="V23" s="16"/>
      <c r="W23" s="16"/>
      <c r="X23" s="16">
        <v>6</v>
      </c>
      <c r="Y23" s="16"/>
      <c r="Z23" s="16"/>
      <c r="AA23" s="16">
        <v>9</v>
      </c>
      <c r="AB23" s="16"/>
      <c r="AC23" s="16"/>
      <c r="AD23" s="16">
        <v>7</v>
      </c>
      <c r="AE23" s="16"/>
      <c r="AF23" s="16"/>
      <c r="AG23" s="16">
        <v>5</v>
      </c>
      <c r="AH23" s="17" t="s">
        <v>22</v>
      </c>
    </row>
    <row r="24" spans="1:34" x14ac:dyDescent="0.25">
      <c r="A24" s="3"/>
      <c r="B24" s="3"/>
      <c r="C24" s="16">
        <v>5</v>
      </c>
      <c r="D24" s="16"/>
      <c r="E24" s="16"/>
      <c r="F24" s="16">
        <v>8</v>
      </c>
      <c r="G24" s="16"/>
      <c r="H24" s="16"/>
      <c r="I24" s="16">
        <v>6</v>
      </c>
      <c r="J24" s="16"/>
      <c r="K24" s="16"/>
      <c r="L24" s="16">
        <v>9</v>
      </c>
      <c r="M24" s="16"/>
      <c r="N24" s="16"/>
      <c r="O24" s="16">
        <v>7</v>
      </c>
      <c r="P24" s="16"/>
      <c r="Q24" s="16"/>
      <c r="R24" s="16">
        <v>5</v>
      </c>
      <c r="S24" s="16"/>
      <c r="T24" s="16"/>
      <c r="U24" s="16">
        <v>8</v>
      </c>
      <c r="V24" s="16"/>
      <c r="W24" s="16"/>
      <c r="X24" s="16">
        <v>6</v>
      </c>
      <c r="Y24" s="16"/>
      <c r="Z24" s="16"/>
      <c r="AA24" s="16">
        <v>9</v>
      </c>
      <c r="AB24" s="16"/>
      <c r="AC24" s="16"/>
      <c r="AD24" s="16">
        <v>7</v>
      </c>
      <c r="AE24" s="16"/>
      <c r="AF24" s="16"/>
      <c r="AG24" s="16">
        <v>5</v>
      </c>
      <c r="AH24" s="17" t="s">
        <v>23</v>
      </c>
    </row>
    <row r="25" spans="1:34" x14ac:dyDescent="0.25">
      <c r="A25" s="3"/>
      <c r="B25" s="3"/>
      <c r="C25" s="16">
        <v>5</v>
      </c>
      <c r="D25" s="16"/>
      <c r="E25" s="16"/>
      <c r="F25" s="16">
        <v>8</v>
      </c>
      <c r="G25" s="16"/>
      <c r="H25" s="16"/>
      <c r="I25" s="16">
        <v>6</v>
      </c>
      <c r="J25" s="16"/>
      <c r="K25" s="16"/>
      <c r="L25" s="16">
        <v>9</v>
      </c>
      <c r="M25" s="16"/>
      <c r="N25" s="16"/>
      <c r="O25" s="16">
        <v>7</v>
      </c>
      <c r="P25" s="16"/>
      <c r="Q25" s="16"/>
      <c r="R25" s="16">
        <v>5</v>
      </c>
      <c r="S25" s="16"/>
      <c r="T25" s="16"/>
      <c r="U25" s="16">
        <v>8</v>
      </c>
      <c r="V25" s="16"/>
      <c r="W25" s="16"/>
      <c r="X25" s="16">
        <v>6</v>
      </c>
      <c r="Y25" s="16"/>
      <c r="Z25" s="16"/>
      <c r="AA25" s="16">
        <v>9</v>
      </c>
      <c r="AB25" s="16"/>
      <c r="AC25" s="16"/>
      <c r="AD25" s="16">
        <v>7</v>
      </c>
      <c r="AE25" s="16"/>
      <c r="AF25" s="16"/>
      <c r="AG25" s="16">
        <v>5</v>
      </c>
      <c r="AH25" s="17" t="s">
        <v>24</v>
      </c>
    </row>
    <row r="26" spans="1:34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spans="1:34" x14ac:dyDescent="0.25">
      <c r="A27" s="18" t="s">
        <v>25</v>
      </c>
      <c r="B27" s="18"/>
      <c r="C27" s="18"/>
      <c r="D27" s="18"/>
      <c r="E27" s="18"/>
      <c r="F27" s="18"/>
      <c r="G27" s="18"/>
      <c r="H27" s="18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spans="1:34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spans="1:34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spans="1:34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spans="1:34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spans="1:34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spans="1:34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spans="1:34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spans="1:34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spans="1:34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spans="1:34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spans="1:34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spans="1:34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1:34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1:34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spans="1:34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spans="1:34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spans="1:34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spans="1:34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</sheetData>
  <mergeCells count="7">
    <mergeCell ref="A1:H2"/>
    <mergeCell ref="I1:T2"/>
    <mergeCell ref="C4:AG4"/>
    <mergeCell ref="B4:B5"/>
    <mergeCell ref="AH4:AH5"/>
    <mergeCell ref="A22:AH22"/>
    <mergeCell ref="A27:H27"/>
  </mergeCells>
  <dataValidations count="4">
    <dataValidation type="list" allowBlank="1" sqref="AA10:AG16">
      <formula1>"TRUE","FALSE"</formula1>
    </dataValidation>
    <dataValidation type="list" allowBlank="1" sqref="AA7:AG16">
      <formula1>"TRUE","FALSE"</formula1>
    </dataValidation>
    <dataValidation type="list" allowBlank="1" sqref="C10:AG16">
      <formula1>"TRUE","FALSE"</formula1>
    </dataValidation>
    <dataValidation type="list" allowBlank="1" sqref="C7:AG16">
      <formula1>"TRUE","FALSE"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 rightToLeft="1" showGridLines="0"/>
  </sheetViews>
  <sheetFormatPr defaultRowHeight="15" outlineLevelRow="0" outlineLevelCol="0" x14ac:dyDescent="55"/>
  <cols>
    <col min="1" max="1" width="16" customWidth="1"/>
    <col min="2" max="28" width="14" customWidth="1"/>
  </cols>
  <sheetData>
    <row r="1" ht="32" customHeight="1" spans="1:14" x14ac:dyDescent="0.25">
      <c r="A1" s="19" t="s">
        <v>26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x14ac:dyDescent="0.25">
      <c r="A2" s="20" t="s">
        <v>27</v>
      </c>
      <c r="B2" s="20"/>
      <c r="C2" s="20"/>
      <c r="D2" s="20"/>
      <c r="E2" s="20"/>
      <c r="F2" s="20"/>
      <c r="G2" s="20"/>
      <c r="H2" s="20" t="s">
        <v>28</v>
      </c>
      <c r="I2" s="20"/>
      <c r="J2" s="20"/>
      <c r="K2" s="20"/>
      <c r="L2" s="20"/>
      <c r="M2" s="20"/>
      <c r="N2" s="20"/>
    </row>
    <row r="3" spans="1:14" x14ac:dyDescent="0.25">
      <c r="A3" s="21" t="s">
        <v>29</v>
      </c>
      <c r="B3" s="22" t="s">
        <v>30</v>
      </c>
      <c r="C3" s="22" t="s">
        <v>31</v>
      </c>
      <c r="D3" s="22" t="s">
        <v>32</v>
      </c>
      <c r="E3" s="22" t="s">
        <v>33</v>
      </c>
      <c r="F3" s="22" t="s">
        <v>34</v>
      </c>
      <c r="G3" s="22" t="s">
        <v>35</v>
      </c>
      <c r="H3" s="22" t="s">
        <v>36</v>
      </c>
      <c r="I3" s="21" t="s">
        <v>37</v>
      </c>
      <c r="J3" s="23">
        <f>ROUND(COUNTIF(B4:H11,TRUE)/(7*8)*100,0)&amp;"%
مكتمل"</f>
      </c>
      <c r="K3" s="23"/>
      <c r="L3" s="23"/>
      <c r="M3" s="23"/>
      <c r="N3" s="23"/>
    </row>
    <row r="4" spans="1:14" x14ac:dyDescent="0.25">
      <c r="A4" s="24" t="s">
        <v>38</v>
      </c>
      <c r="B4" s="10"/>
      <c r="C4" s="10"/>
      <c r="D4" s="10"/>
      <c r="E4" s="10"/>
      <c r="F4" s="10"/>
      <c r="G4" s="10"/>
      <c r="H4" s="10"/>
      <c r="I4" s="25">
        <f>REPT("▓",ROUND(COUNTIF(B4:H4,TRUE)/7*8,0))&amp;" "&amp;ROUND(COUNTIF(B4:H4,TRUE)/7*100,0)&amp;"%"</f>
      </c>
      <c r="J4" s="23"/>
      <c r="K4" s="23"/>
      <c r="L4" s="23"/>
      <c r="M4" s="23"/>
      <c r="N4" s="23"/>
    </row>
    <row r="5" spans="1:14" x14ac:dyDescent="0.25">
      <c r="A5" s="24" t="s">
        <v>39</v>
      </c>
      <c r="B5" s="10"/>
      <c r="C5" s="10"/>
      <c r="D5" s="10"/>
      <c r="E5" s="10"/>
      <c r="F5" s="10"/>
      <c r="G5" s="10"/>
      <c r="H5" s="10"/>
      <c r="I5" s="25">
        <f>REPT("▓",ROUND(COUNTIF(B5:H5,TRUE)/7*8,0))&amp;" "&amp;ROUND(COUNTIF(B5:H5,TRUE)/7*100,0)&amp;"%"</f>
      </c>
      <c r="J5" s="23"/>
      <c r="K5" s="23"/>
      <c r="L5" s="23"/>
      <c r="M5" s="23"/>
      <c r="N5" s="23"/>
    </row>
    <row r="6" spans="1:14" x14ac:dyDescent="0.25">
      <c r="A6" s="24" t="s">
        <v>40</v>
      </c>
      <c r="B6" s="10"/>
      <c r="C6" s="10"/>
      <c r="D6" s="10"/>
      <c r="E6" s="10"/>
      <c r="F6" s="10"/>
      <c r="G6" s="10"/>
      <c r="H6" s="10"/>
      <c r="I6" s="25">
        <f>REPT("▓",ROUND(COUNTIF(B6:H6,TRUE)/7*8,0))&amp;" "&amp;ROUND(COUNTIF(B6:H6,TRUE)/7*100,0)&amp;"%"</f>
      </c>
      <c r="J6" s="23"/>
      <c r="K6" s="23"/>
      <c r="L6" s="23"/>
      <c r="M6" s="23"/>
      <c r="N6" s="23"/>
    </row>
    <row r="7" spans="1:14" x14ac:dyDescent="0.25">
      <c r="A7" s="24" t="s">
        <v>41</v>
      </c>
      <c r="B7" s="10"/>
      <c r="C7" s="10"/>
      <c r="D7" s="10"/>
      <c r="E7" s="10"/>
      <c r="F7" s="10"/>
      <c r="G7" s="10"/>
      <c r="H7" s="10"/>
      <c r="I7" s="25">
        <f>REPT("▓",ROUND(COUNTIF(B7:H7,TRUE)/7*8,0))&amp;" "&amp;ROUND(COUNTIF(B7:H7,TRUE)/7*100,0)&amp;"%"</f>
      </c>
      <c r="J7" s="23"/>
      <c r="K7" s="23"/>
      <c r="L7" s="23"/>
      <c r="M7" s="23"/>
      <c r="N7" s="23"/>
    </row>
    <row r="8" spans="1:14" x14ac:dyDescent="0.25">
      <c r="A8" s="24" t="s">
        <v>42</v>
      </c>
      <c r="B8" s="10"/>
      <c r="C8" s="10"/>
      <c r="D8" s="10"/>
      <c r="E8" s="10"/>
      <c r="F8" s="10"/>
      <c r="G8" s="10"/>
      <c r="H8" s="10"/>
      <c r="I8" s="25">
        <f>REPT("▓",ROUND(COUNTIF(B8:H8,TRUE)/7*8,0))&amp;" "&amp;ROUND(COUNTIF(B8:H8,TRUE)/7*100,0)&amp;"%"</f>
      </c>
      <c r="J8" s="23"/>
      <c r="K8" s="23"/>
      <c r="L8" s="23"/>
      <c r="M8" s="23"/>
      <c r="N8" s="23"/>
    </row>
    <row r="9" spans="1:14" x14ac:dyDescent="0.25">
      <c r="A9" s="24" t="s">
        <v>43</v>
      </c>
      <c r="B9" s="10"/>
      <c r="C9" s="10"/>
      <c r="D9" s="10"/>
      <c r="E9" s="10"/>
      <c r="F9" s="10"/>
      <c r="G9" s="10"/>
      <c r="H9" s="10"/>
      <c r="I9" s="25">
        <f>REPT("▓",ROUND(COUNTIF(B9:H9,TRUE)/7*8,0))&amp;" "&amp;ROUND(COUNTIF(B9:H9,TRUE)/7*100,0)&amp;"%"</f>
      </c>
      <c r="J9" s="23"/>
      <c r="K9" s="23"/>
      <c r="L9" s="23"/>
      <c r="M9" s="23"/>
      <c r="N9" s="23"/>
    </row>
    <row r="10" spans="1:14" x14ac:dyDescent="0.25">
      <c r="A10" s="24" t="s">
        <v>44</v>
      </c>
      <c r="B10" s="10"/>
      <c r="C10" s="10"/>
      <c r="D10" s="10"/>
      <c r="E10" s="10"/>
      <c r="F10" s="10"/>
      <c r="G10" s="10"/>
      <c r="H10" s="10"/>
      <c r="I10" s="25">
        <f>REPT("▓",ROUND(COUNTIF(B10:H10,TRUE)/7*8,0))&amp;" "&amp;ROUND(COUNTIF(B10:H10,TRUE)/7*100,0)&amp;"%"</f>
      </c>
      <c r="J10" s="23"/>
      <c r="K10" s="23"/>
      <c r="L10" s="23"/>
      <c r="M10" s="23"/>
      <c r="N10" s="23"/>
    </row>
    <row r="11" spans="1:14" x14ac:dyDescent="0.25">
      <c r="A11" s="24" t="s">
        <v>45</v>
      </c>
      <c r="B11" s="10"/>
      <c r="C11" s="10"/>
      <c r="D11" s="10"/>
      <c r="E11" s="10"/>
      <c r="F11" s="10"/>
      <c r="G11" s="10"/>
      <c r="H11" s="10"/>
      <c r="I11" s="25">
        <f>REPT("▓",ROUND(COUNTIF(B11:H11,TRUE)/7*8,0))&amp;" "&amp;ROUND(COUNTIF(B11:H11,TRUE)/7*100,0)&amp;"%"</f>
      </c>
      <c r="J11" s="23"/>
      <c r="K11" s="23"/>
      <c r="L11" s="23"/>
      <c r="M11" s="23"/>
      <c r="N11" s="23"/>
    </row>
    <row r="14" spans="1:14" x14ac:dyDescent="0.25">
      <c r="A14" s="20" t="s">
        <v>30</v>
      </c>
      <c r="B14" s="20"/>
      <c r="C14" s="20" t="s">
        <v>31</v>
      </c>
      <c r="D14" s="20"/>
      <c r="E14" s="20" t="s">
        <v>32</v>
      </c>
      <c r="F14" s="20"/>
      <c r="G14" s="20" t="s">
        <v>33</v>
      </c>
      <c r="H14" s="20"/>
      <c r="I14" s="20" t="s">
        <v>34</v>
      </c>
      <c r="J14" s="20"/>
      <c r="K14" s="20" t="s">
        <v>35</v>
      </c>
      <c r="L14" s="20"/>
      <c r="M14" s="20" t="s">
        <v>36</v>
      </c>
      <c r="N14" s="20"/>
    </row>
    <row r="15" spans="1:14" x14ac:dyDescent="0.25">
      <c r="A15" s="26">
        <f>IFERROR(ROUND(COUNTIF(A17:B19,TRUE)/COUNTA(A17:B19)*100,0),0)&amp;"%"</f>
      </c>
      <c r="B15" s="26"/>
      <c r="C15" s="26">
        <f>IFERROR(ROUND(COUNTIF(C17:D19,TRUE)/COUNTA(C17:D19)*100,0),0)&amp;"%"</f>
      </c>
      <c r="D15" s="26"/>
      <c r="E15" s="26">
        <f>IFERROR(ROUND(COUNTIF(E17:F19,TRUE)/COUNTA(E17:F19)*100,0),0)&amp;"%"</f>
      </c>
      <c r="F15" s="26"/>
      <c r="G15" s="26">
        <f>IFERROR(ROUND(COUNTIF(G17:H19,TRUE)/COUNTA(G17:H19)*100,0),0)&amp;"%"</f>
      </c>
      <c r="H15" s="26"/>
      <c r="I15" s="26">
        <f>IFERROR(ROUND(COUNTIF(I17:J19,TRUE)/COUNTA(I17:J19)*100,0),0)&amp;"%"</f>
      </c>
      <c r="J15" s="26"/>
      <c r="K15" s="26">
        <f>IFERROR(ROUND(COUNTIF(K17:L19,TRUE)/COUNTA(K17:L19)*100,0),0)&amp;"%"</f>
      </c>
      <c r="L15" s="26"/>
      <c r="M15" s="26">
        <f>IFERROR(ROUND(COUNTIF(M17:N19,TRUE)/COUNTA(M17:N19)*100,0),0)&amp;"%"</f>
      </c>
      <c r="N15" s="26"/>
    </row>
    <row r="16" spans="1:14" x14ac:dyDescent="0.25">
      <c r="A16" s="27" t="s">
        <v>46</v>
      </c>
      <c r="B16" s="27"/>
      <c r="C16" s="27" t="s">
        <v>46</v>
      </c>
      <c r="D16" s="27"/>
      <c r="E16" s="27" t="s">
        <v>46</v>
      </c>
      <c r="F16" s="27"/>
      <c r="G16" s="27" t="s">
        <v>46</v>
      </c>
      <c r="H16" s="27"/>
      <c r="I16" s="27" t="s">
        <v>46</v>
      </c>
      <c r="J16" s="27"/>
      <c r="K16" s="27" t="s">
        <v>46</v>
      </c>
      <c r="L16" s="27"/>
      <c r="M16" s="27" t="s">
        <v>46</v>
      </c>
      <c r="N16" s="27"/>
    </row>
    <row r="17" spans="1:14" x14ac:dyDescent="0.25">
      <c r="A17" s="28" t="s">
        <v>47</v>
      </c>
      <c r="B17" s="28"/>
      <c r="C17" s="28" t="s">
        <v>48</v>
      </c>
      <c r="D17" s="28"/>
      <c r="E17" s="28" t="s">
        <v>49</v>
      </c>
      <c r="F17" s="28"/>
      <c r="G17" s="28" t="s">
        <v>50</v>
      </c>
      <c r="H17" s="28"/>
      <c r="I17" s="28" t="s">
        <v>51</v>
      </c>
      <c r="J17" s="28"/>
      <c r="K17" s="28" t="s">
        <v>52</v>
      </c>
      <c r="L17" s="28"/>
      <c r="M17" s="28" t="s">
        <v>53</v>
      </c>
      <c r="N17" s="28"/>
    </row>
    <row r="18" spans="1:14" x14ac:dyDescent="0.25">
      <c r="A18" s="28" t="s">
        <v>54</v>
      </c>
      <c r="B18" s="28"/>
      <c r="C18" s="29" t="s">
        <v>55</v>
      </c>
      <c r="D18" s="29"/>
      <c r="E18" s="28" t="s">
        <v>56</v>
      </c>
      <c r="F18" s="28"/>
      <c r="G18" s="29" t="s">
        <v>55</v>
      </c>
      <c r="H18" s="29"/>
      <c r="I18" s="28" t="s">
        <v>57</v>
      </c>
      <c r="J18" s="28"/>
      <c r="K18" s="29" t="s">
        <v>55</v>
      </c>
      <c r="L18" s="29"/>
      <c r="M18" s="28" t="s">
        <v>58</v>
      </c>
      <c r="N18" s="28"/>
    </row>
    <row r="19" spans="1:14" x14ac:dyDescent="0.25">
      <c r="A19" s="28" t="s">
        <v>59</v>
      </c>
      <c r="B19" s="28"/>
      <c r="C19" s="29" t="s">
        <v>55</v>
      </c>
      <c r="D19" s="29"/>
      <c r="E19" s="29" t="s">
        <v>55</v>
      </c>
      <c r="F19" s="29"/>
      <c r="G19" s="28" t="s">
        <v>60</v>
      </c>
      <c r="H19" s="28"/>
      <c r="I19" s="29" t="s">
        <v>55</v>
      </c>
      <c r="J19" s="29"/>
      <c r="K19" s="29" t="s">
        <v>55</v>
      </c>
      <c r="L19" s="29"/>
      <c r="M19" s="29" t="s">
        <v>55</v>
      </c>
      <c r="N19" s="29"/>
    </row>
  </sheetData>
  <mergeCells count="46">
    <mergeCell ref="A1:N1"/>
    <mergeCell ref="A2:G2"/>
    <mergeCell ref="H2:N2"/>
    <mergeCell ref="J3:N11"/>
    <mergeCell ref="A14:B14"/>
    <mergeCell ref="C14:D14"/>
    <mergeCell ref="E14:F14"/>
    <mergeCell ref="G14:H14"/>
    <mergeCell ref="I14:J14"/>
    <mergeCell ref="K14:L14"/>
    <mergeCell ref="M14:N14"/>
    <mergeCell ref="A15:B15"/>
    <mergeCell ref="C15:D15"/>
    <mergeCell ref="E15:F15"/>
    <mergeCell ref="G15:H15"/>
    <mergeCell ref="I15:J15"/>
    <mergeCell ref="K15:L15"/>
    <mergeCell ref="M15:N15"/>
    <mergeCell ref="A16:B16"/>
    <mergeCell ref="C16:D16"/>
    <mergeCell ref="E16:F16"/>
    <mergeCell ref="G16:H16"/>
    <mergeCell ref="I16:J16"/>
    <mergeCell ref="K16:L16"/>
    <mergeCell ref="M16:N16"/>
    <mergeCell ref="A17:B17"/>
    <mergeCell ref="C17:D17"/>
    <mergeCell ref="E17:F17"/>
    <mergeCell ref="G17:H17"/>
    <mergeCell ref="I17:J17"/>
    <mergeCell ref="K17:L17"/>
    <mergeCell ref="M17:N17"/>
    <mergeCell ref="A18:B18"/>
    <mergeCell ref="C18:D18"/>
    <mergeCell ref="E18:F18"/>
    <mergeCell ref="G18:H18"/>
    <mergeCell ref="I18:J18"/>
    <mergeCell ref="K18:L18"/>
    <mergeCell ref="M18:N18"/>
    <mergeCell ref="A19:B19"/>
    <mergeCell ref="C19:D19"/>
    <mergeCell ref="E19:F19"/>
    <mergeCell ref="G19:H19"/>
    <mergeCell ref="I19:J19"/>
    <mergeCell ref="K19:L19"/>
    <mergeCell ref="M19:N19"/>
  </mergeCells>
  <dataValidations count="10">
    <dataValidation type="list" allowBlank="1" sqref="A17:A19">
      <formula1>"TRUE","FALSE"</formula1>
    </dataValidation>
    <dataValidation type="list" allowBlank="1" sqref="B10:H11">
      <formula1>"TRUE","FALSE"</formula1>
    </dataValidation>
    <dataValidation type="list" allowBlank="1" sqref="B4:H11">
      <formula1>"TRUE","FALSE"</formula1>
    </dataValidation>
    <dataValidation type="list" allowBlank="1" sqref="C17">
      <formula1>"TRUE","FALSE"</formula1>
    </dataValidation>
    <dataValidation type="list" allowBlank="1" sqref="E17:E18">
      <formula1>"TRUE","FALSE"</formula1>
    </dataValidation>
    <dataValidation type="list" allowBlank="1" sqref="G17">
      <formula1>"TRUE","FALSE"</formula1>
    </dataValidation>
    <dataValidation type="list" allowBlank="1" sqref="G19">
      <formula1>"TRUE","FALSE"</formula1>
    </dataValidation>
    <dataValidation type="list" allowBlank="1" sqref="I17:I18">
      <formula1>"TRUE","FALSE"</formula1>
    </dataValidation>
    <dataValidation type="list" allowBlank="1" sqref="K17">
      <formula1>"TRUE","FALSE"</formula1>
    </dataValidation>
    <dataValidation type="list" allowBlank="1" sqref="M17:M18">
      <formula1>"TRUE","FALSE"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 rightToLeft="1"/>
  </sheetViews>
  <sheetFormatPr defaultRowHeight="15" outlineLevelRow="0" outlineLevelCol="0" x14ac:dyDescent="55"/>
  <cols>
    <col min="1" max="1" width="6" customWidth="1"/>
    <col min="2" max="2" width="62" customWidth="1"/>
  </cols>
  <sheetData>
    <row r="1" spans="1:2" x14ac:dyDescent="0.25">
      <c r="A1" s="30" t="s">
        <v>61</v>
      </c>
      <c r="B1" s="30"/>
    </row>
    <row r="2" spans="1:2" x14ac:dyDescent="0.25">
      <c r="A2" s="31" t="s">
        <v>62</v>
      </c>
      <c r="B2" s="31"/>
    </row>
    <row r="3" spans="1:2" x14ac:dyDescent="0.25">
      <c r="A3" s="31" t="s">
        <v>63</v>
      </c>
      <c r="B3" s="31"/>
    </row>
    <row r="4" spans="1:2" x14ac:dyDescent="0.25">
      <c r="A4" s="31" t="s">
        <v>62</v>
      </c>
      <c r="B4" s="31"/>
    </row>
    <row r="5" spans="1:2" x14ac:dyDescent="0.25">
      <c r="A5" s="31" t="s">
        <v>64</v>
      </c>
      <c r="B5" s="31"/>
    </row>
    <row r="6" spans="1:2" x14ac:dyDescent="0.25">
      <c r="A6" t="s">
        <v>65</v>
      </c>
      <c r="B6" s="32" t="s">
        <v>66</v>
      </c>
    </row>
    <row r="7" spans="1:2" x14ac:dyDescent="0.25">
      <c r="A7" t="s">
        <v>67</v>
      </c>
      <c r="B7" s="32" t="s">
        <v>68</v>
      </c>
    </row>
    <row r="8" spans="1:2" x14ac:dyDescent="0.25">
      <c r="A8" t="s">
        <v>69</v>
      </c>
      <c r="B8" s="32" t="s">
        <v>70</v>
      </c>
    </row>
    <row r="9" spans="1:2" x14ac:dyDescent="0.25">
      <c r="A9" t="s">
        <v>71</v>
      </c>
      <c r="B9" s="32" t="s">
        <v>72</v>
      </c>
    </row>
    <row r="10" spans="1:2" x14ac:dyDescent="0.25">
      <c r="A10" s="31" t="s">
        <v>62</v>
      </c>
      <c r="B10" s="31"/>
    </row>
    <row r="11" spans="1:2" x14ac:dyDescent="0.25">
      <c r="A11" s="31" t="s">
        <v>73</v>
      </c>
      <c r="B11" s="31"/>
    </row>
    <row r="12" spans="1:2" x14ac:dyDescent="0.25">
      <c r="A12" t="s">
        <v>74</v>
      </c>
      <c r="B12" s="32" t="s">
        <v>75</v>
      </c>
    </row>
    <row r="13" spans="1:2" x14ac:dyDescent="0.25">
      <c r="A13" t="s">
        <v>74</v>
      </c>
      <c r="B13" s="32" t="s">
        <v>76</v>
      </c>
    </row>
    <row r="14" spans="1:2" x14ac:dyDescent="0.25">
      <c r="A14" s="31" t="s">
        <v>62</v>
      </c>
      <c r="B14" s="31"/>
    </row>
    <row r="15" spans="1:2" x14ac:dyDescent="0.25">
      <c r="A15" s="31" t="s">
        <v>77</v>
      </c>
      <c r="B15" s="31"/>
    </row>
  </sheetData>
  <mergeCells count="9">
    <mergeCell ref="A1:B1"/>
    <mergeCell ref="A2:B2"/>
    <mergeCell ref="A3:B3"/>
    <mergeCell ref="A4:B4"/>
    <mergeCell ref="A5:B5"/>
    <mergeCell ref="A10:B10"/>
    <mergeCell ref="A11:B11"/>
    <mergeCell ref="A14:B14"/>
    <mergeCell ref="A15:B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لوحة العادات</vt:lpstr>
      <vt:lpstr>المهام الأسبوعية</vt:lpstr>
      <vt:lpstr>📖 الدليل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Massar</dc:creator>
  <dc:title/>
  <dc:subject/>
  <dc:description/>
  <cp:keywords/>
  <cp:category/>
  <cp:lastModifiedBy>Unknown</cp:lastModifiedBy>
  <dcterms:created xsi:type="dcterms:W3CDTF">2026-05-15T16:38:43Z</dcterms:created>
  <dcterms:modified xsi:type="dcterms:W3CDTF">2026-05-15T16:38:43Z</dcterms:modified>
</cp:coreProperties>
</file>